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thesis_osa\myapp\cert_templates\"/>
    </mc:Choice>
  </mc:AlternateContent>
  <xr:revisionPtr revIDLastSave="0" documentId="13_ncr:1_{22B63B18-63F0-4BA0-8539-069130CE6384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inputs" sheetId="1" r:id="rId1"/>
    <sheet name="Completion Certificate" sheetId="2" r:id="rId2"/>
  </sheets>
  <definedNames>
    <definedName name="date">inputs!$B$5</definedName>
    <definedName name="end_date">inputs!$B$7</definedName>
    <definedName name="hours">inputs!$B$9</definedName>
    <definedName name="osa_head">inputs!$B$8</definedName>
    <definedName name="program">inputs!$B$4</definedName>
    <definedName name="start_date">inputs!$B$6</definedName>
    <definedName name="student_id">inputs!$B$3</definedName>
    <definedName name="student_name">inputs!$B$2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B15" i="2"/>
  <c r="C14" i="2"/>
  <c r="D11" i="2"/>
  <c r="B11" i="2"/>
  <c r="D8" i="2"/>
</calcChain>
</file>

<file path=xl/sharedStrings.xml><?xml version="1.0" encoding="utf-8"?>
<sst xmlns="http://schemas.openxmlformats.org/spreadsheetml/2006/main" count="27" uniqueCount="27">
  <si>
    <t>name</t>
  </si>
  <si>
    <t>values</t>
  </si>
  <si>
    <t>student_name</t>
  </si>
  <si>
    <t>Lord Jaisson Riberal</t>
  </si>
  <si>
    <t>student_id</t>
  </si>
  <si>
    <t>TUPC-22-0374</t>
  </si>
  <si>
    <t>program</t>
  </si>
  <si>
    <t>BET-COET</t>
  </si>
  <si>
    <t>date</t>
  </si>
  <si>
    <t>start_date</t>
  </si>
  <si>
    <t>November 10. 2025</t>
  </si>
  <si>
    <t>end_date</t>
  </si>
  <si>
    <t>November 20, 2025</t>
  </si>
  <si>
    <t>osa_head</t>
  </si>
  <si>
    <t>Beverly M. de Vega</t>
  </si>
  <si>
    <t>hours</t>
  </si>
  <si>
    <t>TECHNOLOGICAL UNIVERSITY OF THE PHILIPPINES</t>
  </si>
  <si>
    <t>CERTIFICATION OF COMMUNITY SERVICE COMPLETED</t>
  </si>
  <si>
    <t>This certifies that</t>
  </si>
  <si>
    <t>of</t>
  </si>
  <si>
    <t>who have violated a school policy/policies</t>
  </si>
  <si>
    <t>has rendered and completed the</t>
  </si>
  <si>
    <t>required</t>
  </si>
  <si>
    <t>hours of</t>
  </si>
  <si>
    <t>Head, Office of Student Affairs</t>
  </si>
  <si>
    <t>CAVITE CAMPUS</t>
  </si>
  <si>
    <t xml:space="preserve">  CQT. Ave., Salawag City of Dasmariñas City, Cavite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</si>
</sst>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109106</xdr:colOff>
      <xdr:row>1</xdr:row>
      <xdr:rowOff>39547</xdr:rowOff>
    </xdr:from>
    <xdr:to>
      <xdr:col>1</xdr:col>
      <xdr:colOff>270862</xdr:colOff>
      <xdr:row>3</xdr:row>
      <xdr:rowOff>148951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106" y="105031"/>
          <a:ext cx="435600" cy="430873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205" zoomScaleNormal="205" workbookViewId="0">
      <selection activeCell="B9" sqref="B9"/>
    </sheetView>
  </sheetViews>
  <sheetFormatPr defaultColWidth="8.7109375" defaultRowHeight="12.75" customHeight="1" x14ac:dyDescent="0.2"/>
  <cols>
    <col min="1" max="1" width="22.28515625" customWidth="1"/>
    <col min="2" max="2" width="29.140625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4" t="s">
        <v>2</v>
      </c>
      <c r="B2" s="4" t="s">
        <v>3</v>
      </c>
    </row>
    <row r="3" spans="1:2" x14ac:dyDescent="0.2">
      <c r="A3" s="4" t="s">
        <v>4</v>
      </c>
      <c r="B3" s="4" t="s">
        <v>5</v>
      </c>
    </row>
    <row r="4" spans="1:2" x14ac:dyDescent="0.2">
      <c r="A4" s="4" t="s">
        <v>6</v>
      </c>
      <c r="B4" s="4" t="s">
        <v>7</v>
      </c>
    </row>
    <row r="5" spans="1:2" x14ac:dyDescent="0.2">
      <c r="A5" s="4" t="s">
        <v>8</v>
      </c>
      <c r="B5" s="5">
        <v>45699</v>
      </c>
    </row>
    <row r="6" spans="1:2" x14ac:dyDescent="0.2">
      <c r="A6" s="4" t="s">
        <v>9</v>
      </c>
      <c r="B6" s="4" t="s">
        <v>10</v>
      </c>
    </row>
    <row r="7" spans="1:2" x14ac:dyDescent="0.2">
      <c r="A7" s="4" t="s">
        <v>11</v>
      </c>
      <c r="B7" s="4" t="s">
        <v>12</v>
      </c>
    </row>
    <row r="8" spans="1:2" x14ac:dyDescent="0.2">
      <c r="A8" s="4" t="s">
        <v>13</v>
      </c>
      <c r="B8" s="4" t="s">
        <v>14</v>
      </c>
    </row>
    <row r="9" spans="1:2" ht="12.75" customHeight="1" x14ac:dyDescent="0.2">
      <c r="A9" s="4" t="s">
        <v>15</v>
      </c>
      <c r="B9" s="6">
        <v>20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zoomScale="160" zoomScaleNormal="160" workbookViewId="0">
      <selection activeCell="B8" sqref="B8"/>
    </sheetView>
  </sheetViews>
  <sheetFormatPr defaultColWidth="0" defaultRowHeight="12.75" customHeight="1" zeroHeight="1" x14ac:dyDescent="0.2"/>
  <cols>
    <col min="1" max="1" width="4.140625" customWidth="1"/>
    <col min="2" max="2" width="27.28515625" customWidth="1"/>
    <col min="3" max="3" width="3.5703125" customWidth="1"/>
    <col min="4" max="4" width="20.28515625" customWidth="1"/>
    <col min="5" max="5" width="3.140625" customWidth="1"/>
    <col min="6" max="16384" width="9.140625" hidden="1"/>
  </cols>
  <sheetData>
    <row r="1" spans="2:4" ht="5.25" customHeight="1" x14ac:dyDescent="0.2"/>
    <row r="2" spans="2:4" x14ac:dyDescent="0.2">
      <c r="B2" s="14" t="s">
        <v>16</v>
      </c>
      <c r="C2" s="14"/>
      <c r="D2" s="14"/>
    </row>
    <row r="3" spans="2:4" x14ac:dyDescent="0.2">
      <c r="B3" s="14" t="s">
        <v>25</v>
      </c>
      <c r="C3" s="14"/>
      <c r="D3" s="14"/>
    </row>
    <row r="4" spans="2:4" ht="12" customHeight="1" x14ac:dyDescent="0.2">
      <c r="B4" s="15" t="s">
        <v>26</v>
      </c>
      <c r="C4" s="15"/>
      <c r="D4" s="15"/>
    </row>
    <row r="5" spans="2:4" x14ac:dyDescent="0.2"/>
    <row r="6" spans="2:4" x14ac:dyDescent="0.2">
      <c r="B6" s="16" t="s">
        <v>17</v>
      </c>
      <c r="C6" s="16"/>
      <c r="D6" s="16"/>
    </row>
    <row r="7" spans="2:4" x14ac:dyDescent="0.2">
      <c r="B7" s="3"/>
      <c r="C7" s="3"/>
      <c r="D7" s="3"/>
    </row>
    <row r="8" spans="2:4" x14ac:dyDescent="0.2">
      <c r="B8" s="3"/>
      <c r="C8" s="3"/>
      <c r="D8" s="1" t="str">
        <f>TEXT(date,"mmmm d, yyyy")</f>
        <v>February 11, 2025</v>
      </c>
    </row>
    <row r="9" spans="2:4" x14ac:dyDescent="0.2"/>
    <row r="10" spans="2:4" x14ac:dyDescent="0.2">
      <c r="B10" s="11" t="s">
        <v>18</v>
      </c>
      <c r="C10" s="11"/>
      <c r="D10" s="11"/>
    </row>
    <row r="11" spans="2:4" x14ac:dyDescent="0.2">
      <c r="B11" s="7" t="str">
        <f>student_name</f>
        <v>Lord Jaisson Riberal</v>
      </c>
      <c r="C11" s="2" t="s">
        <v>19</v>
      </c>
      <c r="D11" s="8" t="str">
        <f>program</f>
        <v>BET-COET</v>
      </c>
    </row>
    <row r="12" spans="2:4" x14ac:dyDescent="0.2">
      <c r="B12" s="11" t="s">
        <v>20</v>
      </c>
      <c r="C12" s="11"/>
      <c r="D12" s="11"/>
    </row>
    <row r="13" spans="2:4" x14ac:dyDescent="0.2">
      <c r="B13" s="11" t="s">
        <v>21</v>
      </c>
      <c r="C13" s="11"/>
      <c r="D13" s="11"/>
    </row>
    <row r="14" spans="2:4" x14ac:dyDescent="0.2">
      <c r="B14" s="9" t="s">
        <v>22</v>
      </c>
      <c r="C14" s="1">
        <f>hours</f>
        <v>20</v>
      </c>
      <c r="D14" s="4" t="s">
        <v>23</v>
      </c>
    </row>
    <row r="15" spans="2:4" x14ac:dyDescent="0.2">
      <c r="B15" s="12" t="str">
        <f>"community service from " &amp; TEXT(start_date,"mmmm d, yyyy") &amp;
" to " &amp; TEXT(end_date,"mmmm d, yyyy") &amp;
" and is hereby cleared in this office of such violation."</f>
        <v>community service from November 10. 2025 to November 20, 2025 and is hereby cleared in this office of such violation.</v>
      </c>
      <c r="C15" s="12"/>
      <c r="D15" s="12"/>
    </row>
    <row r="16" spans="2:4" x14ac:dyDescent="0.2">
      <c r="B16" s="12"/>
      <c r="C16" s="12"/>
      <c r="D16" s="12"/>
    </row>
    <row r="17" spans="2:4" x14ac:dyDescent="0.2">
      <c r="B17" s="10"/>
      <c r="C17" s="10"/>
      <c r="D17" s="10"/>
    </row>
    <row r="18" spans="2:4" x14ac:dyDescent="0.2"/>
    <row r="19" spans="2:4" x14ac:dyDescent="0.2">
      <c r="B19" s="13" t="str">
        <f>osa_head</f>
        <v>Beverly M. de Vega</v>
      </c>
      <c r="C19" s="13"/>
      <c r="D19" s="13"/>
    </row>
    <row r="20" spans="2:4" x14ac:dyDescent="0.2">
      <c r="B20" s="10" t="s">
        <v>24</v>
      </c>
      <c r="C20" s="10"/>
      <c r="D20" s="10"/>
    </row>
    <row r="21" spans="2:4" x14ac:dyDescent="0.2"/>
  </sheetData>
  <mergeCells count="11">
    <mergeCell ref="B2:D2"/>
    <mergeCell ref="B3:D3"/>
    <mergeCell ref="B4:D4"/>
    <mergeCell ref="B6:D6"/>
    <mergeCell ref="B10:D10"/>
    <mergeCell ref="B20:D20"/>
    <mergeCell ref="B12:D12"/>
    <mergeCell ref="B13:D13"/>
    <mergeCell ref="B15:D16"/>
    <mergeCell ref="B17:D17"/>
    <mergeCell ref="B19:D19"/>
  </mergeCells>
  <printOptions horizontalCentered="1"/>
  <pageMargins left="0.98402777777777795" right="0.98402777777777795" top="0.31527777777777799" bottom="0.9840277777777779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inputs</vt:lpstr>
      <vt:lpstr>Completion Certificate</vt:lpstr>
      <vt:lpstr>date</vt:lpstr>
      <vt:lpstr>end_date</vt:lpstr>
      <vt:lpstr>hours</vt:lpstr>
      <vt:lpstr>osa_head</vt:lpstr>
      <vt:lpstr>program</vt:lpstr>
      <vt:lpstr>start_date</vt:lpstr>
      <vt:lpstr>student_id</vt:lpstr>
      <vt:lpstr>student_name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Lord Jaisson Riberal</cp:lastModifiedBy>
  <cp:revision>3</cp:revision>
  <cp:lastPrinted>2025-11-16T22:31:48Z</cp:lastPrinted>
  <dcterms:modified xsi:type="dcterms:W3CDTF">2025-11-16T22:31:54Z</dcterms:modified>
  <dc:language>en-PH</dc:language>
</cp:coreProperties>
</file>