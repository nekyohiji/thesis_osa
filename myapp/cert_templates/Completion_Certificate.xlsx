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4E2E61CE-196A-4B65-9F2F-28C27310B566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puts" sheetId="1" r:id="rId1"/>
    <sheet name="Sheet1" sheetId="3" r:id="rId2"/>
  </sheets>
  <definedNames>
    <definedName name="date">inputs!$B$5</definedName>
    <definedName name="end_date">inputs!$B$7</definedName>
    <definedName name="hours">inputs!$B$9</definedName>
    <definedName name="osa_head">inputs!$B$8</definedName>
    <definedName name="_xlnm.Print_Area" localSheetId="1">Sheet1!$1:$21</definedName>
    <definedName name="program">inputs!$B$4</definedName>
    <definedName name="start_date">inputs!$B$6</definedName>
    <definedName name="student_id">inputs!$B$3</definedName>
    <definedName name="student_name">inputs!$B$2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3" l="1"/>
  <c r="D8" i="3"/>
  <c r="C14" i="3"/>
  <c r="B19" i="3"/>
  <c r="D11" i="3"/>
  <c r="B11" i="3"/>
</calcChain>
</file>

<file path=xl/sharedStrings.xml><?xml version="1.0" encoding="utf-8"?>
<sst xmlns="http://schemas.openxmlformats.org/spreadsheetml/2006/main" count="27" uniqueCount="27">
  <si>
    <t>name</t>
  </si>
  <si>
    <t>values</t>
  </si>
  <si>
    <t>student_name</t>
  </si>
  <si>
    <t>Lord Jaisson Riberal</t>
  </si>
  <si>
    <t>student_id</t>
  </si>
  <si>
    <t>TUPC-22-0374</t>
  </si>
  <si>
    <t>program</t>
  </si>
  <si>
    <t>BET-COET</t>
  </si>
  <si>
    <t>osa_head</t>
  </si>
  <si>
    <t>Beverly M. de Vega</t>
  </si>
  <si>
    <t>TECHNOLOGICAL UNIVERSITY OF THE PHILIPPINES</t>
  </si>
  <si>
    <t>This certifies that</t>
  </si>
  <si>
    <t>of</t>
  </si>
  <si>
    <t>who have violated a school policy/policies</t>
  </si>
  <si>
    <t>has rendered and completed the</t>
  </si>
  <si>
    <t>required</t>
  </si>
  <si>
    <t>hours</t>
  </si>
  <si>
    <t>Head, Office of Student Affairs</t>
  </si>
  <si>
    <t>CQT. Ave., Salawag City of Dasmariñas City, Cavite</t>
  </si>
  <si>
    <t>CERTIFICATION OF COMMUNITY SERVICE COMPLETED</t>
  </si>
  <si>
    <t xml:space="preserve">                   CAVITE CAMPUS</t>
  </si>
  <si>
    <t>date</t>
  </si>
  <si>
    <t>start_date</t>
  </si>
  <si>
    <t>end_date</t>
  </si>
  <si>
    <t>November 10. 2025</t>
  </si>
  <si>
    <t>November 20, 2025</t>
  </si>
  <si>
    <t>hours 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</si>
</sst>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1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B8948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150017</xdr:colOff>
      <xdr:row>1</xdr:row>
      <xdr:rowOff>8339</xdr:rowOff>
    </xdr:from>
    <xdr:to>
      <xdr:col>1</xdr:col>
      <xdr:colOff>585996</xdr:colOff>
      <xdr:row>3</xdr:row>
      <xdr:rowOff>119064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8AA53F6-DF69-A473-EAFD-E98AC99EA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6486" y="169073"/>
          <a:ext cx="435979" cy="4321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zoomScale="205" zoomScaleNormal="205" workbookViewId="0">
      <selection activeCell="B9" sqref="B9"/>
    </sheetView>
  </sheetViews>
  <sheetFormatPr defaultColWidth="8.7109375" defaultRowHeight="12.75" customHeight="1" x14ac:dyDescent="0.2"/>
  <cols>
    <col min="1" max="1" width="22.28515625" customWidth="1"/>
    <col min="2" max="2" width="29.14062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s="1" t="s">
        <v>2</v>
      </c>
      <c r="B2" s="1" t="s">
        <v>3</v>
      </c>
    </row>
    <row r="3" spans="1:2" x14ac:dyDescent="0.2">
      <c r="A3" s="1" t="s">
        <v>4</v>
      </c>
      <c r="B3" s="1" t="s">
        <v>5</v>
      </c>
    </row>
    <row r="4" spans="1:2" x14ac:dyDescent="0.2">
      <c r="A4" s="1" t="s">
        <v>6</v>
      </c>
      <c r="B4" s="1" t="s">
        <v>7</v>
      </c>
    </row>
    <row r="5" spans="1:2" x14ac:dyDescent="0.2">
      <c r="A5" s="1" t="s">
        <v>21</v>
      </c>
      <c r="B5" s="14">
        <v>45699</v>
      </c>
    </row>
    <row r="6" spans="1:2" x14ac:dyDescent="0.2">
      <c r="A6" s="1" t="s">
        <v>22</v>
      </c>
      <c r="B6" s="1" t="s">
        <v>24</v>
      </c>
    </row>
    <row r="7" spans="1:2" x14ac:dyDescent="0.2">
      <c r="A7" s="1" t="s">
        <v>23</v>
      </c>
      <c r="B7" s="1" t="s">
        <v>25</v>
      </c>
    </row>
    <row r="8" spans="1:2" x14ac:dyDescent="0.2">
      <c r="A8" s="1" t="s">
        <v>8</v>
      </c>
      <c r="B8" s="1" t="s">
        <v>9</v>
      </c>
    </row>
    <row r="9" spans="1:2" ht="12.75" customHeight="1" x14ac:dyDescent="0.2">
      <c r="A9" s="6" t="s">
        <v>16</v>
      </c>
      <c r="B9" s="15">
        <v>20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F082F-1A8B-406B-9EE3-B5B024169996}">
  <dimension ref="A1:E21"/>
  <sheetViews>
    <sheetView tabSelected="1" zoomScale="160" zoomScaleNormal="160" workbookViewId="0">
      <selection activeCell="C14" sqref="C14"/>
    </sheetView>
  </sheetViews>
  <sheetFormatPr defaultColWidth="0" defaultRowHeight="12.75" zeroHeight="1" x14ac:dyDescent="0.2"/>
  <cols>
    <col min="1" max="1" width="1.140625" customWidth="1"/>
    <col min="2" max="2" width="27.28515625" customWidth="1"/>
    <col min="3" max="3" width="3.5703125" customWidth="1"/>
    <col min="4" max="4" width="22.28515625" customWidth="1"/>
    <col min="5" max="5" width="3.140625" customWidth="1"/>
    <col min="6" max="16384" width="9.140625" hidden="1"/>
  </cols>
  <sheetData>
    <row r="1" spans="2:4" ht="5.25" customHeight="1" x14ac:dyDescent="0.2"/>
    <row r="2" spans="2:4" x14ac:dyDescent="0.2">
      <c r="B2" s="9" t="s">
        <v>10</v>
      </c>
      <c r="C2" s="9"/>
      <c r="D2" s="9"/>
    </row>
    <row r="3" spans="2:4" x14ac:dyDescent="0.2">
      <c r="B3" s="7" t="s">
        <v>20</v>
      </c>
      <c r="C3" s="7"/>
      <c r="D3" s="7"/>
    </row>
    <row r="4" spans="2:4" ht="12" customHeight="1" x14ac:dyDescent="0.2">
      <c r="B4" s="8" t="s">
        <v>18</v>
      </c>
      <c r="C4" s="8"/>
      <c r="D4" s="8"/>
    </row>
    <row r="5" spans="2:4" x14ac:dyDescent="0.2"/>
    <row r="6" spans="2:4" x14ac:dyDescent="0.2">
      <c r="B6" s="10" t="s">
        <v>19</v>
      </c>
      <c r="C6" s="10"/>
      <c r="D6" s="10"/>
    </row>
    <row r="7" spans="2:4" x14ac:dyDescent="0.2">
      <c r="B7" s="12"/>
      <c r="C7" s="12"/>
      <c r="D7" s="12"/>
    </row>
    <row r="8" spans="2:4" x14ac:dyDescent="0.2">
      <c r="B8" s="12"/>
      <c r="C8" s="12"/>
      <c r="D8" s="11" t="str">
        <f>TEXT(date,"mmmm d, yyyy")</f>
        <v>February 11, 2025</v>
      </c>
    </row>
    <row r="9" spans="2:4" x14ac:dyDescent="0.2"/>
    <row r="10" spans="2:4" x14ac:dyDescent="0.2">
      <c r="B10" s="2" t="s">
        <v>11</v>
      </c>
      <c r="C10" s="2"/>
      <c r="D10" s="2"/>
    </row>
    <row r="11" spans="2:4" x14ac:dyDescent="0.2">
      <c r="B11" s="13" t="str">
        <f>student_name</f>
        <v>Lord Jaisson Riberal</v>
      </c>
      <c r="C11" s="3" t="s">
        <v>12</v>
      </c>
      <c r="D11" s="18" t="str">
        <f>program</f>
        <v>BET-COET</v>
      </c>
    </row>
    <row r="12" spans="2:4" x14ac:dyDescent="0.2">
      <c r="B12" s="2" t="s">
        <v>13</v>
      </c>
      <c r="C12" s="2"/>
      <c r="D12" s="2"/>
    </row>
    <row r="13" spans="2:4" x14ac:dyDescent="0.2">
      <c r="B13" s="2" t="s">
        <v>14</v>
      </c>
      <c r="C13" s="2"/>
      <c r="D13" s="2"/>
    </row>
    <row r="14" spans="2:4" x14ac:dyDescent="0.2">
      <c r="B14" s="4" t="s">
        <v>15</v>
      </c>
      <c r="C14" s="11">
        <f>hours</f>
        <v>20</v>
      </c>
      <c r="D14" s="6" t="s">
        <v>26</v>
      </c>
    </row>
    <row r="15" spans="2:4" x14ac:dyDescent="0.2">
      <c r="B15" s="16" t="str">
        <f>"community service from " &amp; TEXT(start_date,"mmmm d, yyyy") &amp;
" to " &amp; TEXT(end_date,"mmmm d, yyyy") &amp;
" and is hereby cleared in this office of such violation."</f>
        <v>community service from November 10. 2025 to November 20, 2025 and is hereby cleared in this office of such violation.</v>
      </c>
      <c r="C15" s="16"/>
      <c r="D15" s="16"/>
    </row>
    <row r="16" spans="2:4" x14ac:dyDescent="0.2">
      <c r="B16" s="16"/>
      <c r="C16" s="16"/>
      <c r="D16" s="16"/>
    </row>
    <row r="17" spans="2:4" x14ac:dyDescent="0.2">
      <c r="B17" s="5"/>
      <c r="C17" s="5"/>
      <c r="D17" s="5"/>
    </row>
    <row r="18" spans="2:4" x14ac:dyDescent="0.2"/>
    <row r="19" spans="2:4" x14ac:dyDescent="0.2">
      <c r="B19" s="17" t="str">
        <f>osa_head</f>
        <v>Beverly M. de Vega</v>
      </c>
      <c r="C19" s="17"/>
      <c r="D19" s="17"/>
    </row>
    <row r="20" spans="2:4" x14ac:dyDescent="0.2">
      <c r="B20" s="5" t="s">
        <v>17</v>
      </c>
      <c r="C20" s="5"/>
      <c r="D20" s="5"/>
    </row>
    <row r="21" spans="2:4" x14ac:dyDescent="0.2"/>
  </sheetData>
  <mergeCells count="11">
    <mergeCell ref="B19:D19"/>
    <mergeCell ref="B20:D20"/>
    <mergeCell ref="B17:D17"/>
    <mergeCell ref="B15:D16"/>
    <mergeCell ref="B10:D10"/>
    <mergeCell ref="B12:D12"/>
    <mergeCell ref="B13:D13"/>
    <mergeCell ref="B2:D2"/>
    <mergeCell ref="B3:D3"/>
    <mergeCell ref="B4:D4"/>
    <mergeCell ref="B6:D6"/>
  </mergeCells>
  <printOptions horizontalCentered="1"/>
  <pageMargins left="0.98425196850393704" right="0.98425196850393704" top="0.31496062992125984" bottom="0.98425196850393704" header="0.51181102362204722" footer="0.51181102362204722"/>
  <pageSetup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inputs</vt:lpstr>
      <vt:lpstr>Sheet1</vt:lpstr>
      <vt:lpstr>date</vt:lpstr>
      <vt:lpstr>end_date</vt:lpstr>
      <vt:lpstr>hours</vt:lpstr>
      <vt:lpstr>osa_head</vt:lpstr>
      <vt:lpstr>Sheet1!Print_Area</vt:lpstr>
      <vt:lpstr>program</vt:lpstr>
      <vt:lpstr>start_date</vt:lpstr>
      <vt:lpstr>student_id</vt:lpstr>
      <vt:lpstr>student_name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Lord Jaisson Riberal</cp:lastModifiedBy>
  <cp:revision>2</cp:revision>
  <cp:lastPrinted>2025-11-04T15:19:12Z</cp:lastPrinted>
  <dcterms:modified xsi:type="dcterms:W3CDTF">2025-11-04T15:20:13Z</dcterms:modified>
  <dc:language>en-PH</dc:language>
</cp:coreProperties>
</file>