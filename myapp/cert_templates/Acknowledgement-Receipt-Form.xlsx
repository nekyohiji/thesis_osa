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thesis_osa\myapp\cert_templates\"/>
    </mc:Choice>
  </mc:AlternateContent>
  <xr:revisionPtr revIDLastSave="0" documentId="13_ncr:1_{67A7272B-46E1-4647-A27F-516C3054077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nputs" sheetId="1" r:id="rId1"/>
    <sheet name="Acknowledgement Receipt" sheetId="2" r:id="rId2"/>
  </sheets>
  <definedNames>
    <definedName name="osa_head">inputs!$B$10</definedName>
    <definedName name="program">inputs!$B$5</definedName>
    <definedName name="proof">inputs!$B$8</definedName>
    <definedName name="reason">inputs!$B$9</definedName>
    <definedName name="student_id">inputs!$B$3</definedName>
    <definedName name="student_name">inputs!$B$2</definedName>
    <definedName name="timestamp">inputs!$B$7</definedName>
    <definedName name="year_level">inputs!$B$4</definedName>
    <definedName name="years_of_stay">inputs!$B$6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2" l="1"/>
  <c r="E12" i="2"/>
  <c r="E11" i="2"/>
  <c r="L10" i="2"/>
  <c r="E10" i="2"/>
  <c r="L9" i="2"/>
  <c r="E9" i="2"/>
  <c r="L8" i="2"/>
  <c r="B14" i="2" s="1"/>
  <c r="E8" i="2"/>
  <c r="E7" i="2"/>
  <c r="E6" i="2" a="1"/>
  <c r="E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 xml:space="preserve">The title change to:
Acknowledgment Receipt of Retuned TUPC ID
from:
Acknowledgement Receipt for Surrendered TUPC ID
Change by: Jhay Acera 3/42025
</t>
        </r>
      </text>
    </comment>
  </commentList>
</comments>
</file>

<file path=xl/sharedStrings.xml><?xml version="1.0" encoding="utf-8"?>
<sst xmlns="http://schemas.openxmlformats.org/spreadsheetml/2006/main" count="39" uniqueCount="39">
  <si>
    <t>name</t>
  </si>
  <si>
    <t>values</t>
  </si>
  <si>
    <t>student_name</t>
  </si>
  <si>
    <t>student_id</t>
  </si>
  <si>
    <t>TUPC-22-0374</t>
  </si>
  <si>
    <t>year_level</t>
  </si>
  <si>
    <t>1st Year</t>
  </si>
  <si>
    <t>program</t>
  </si>
  <si>
    <t>BET-COET</t>
  </si>
  <si>
    <t>years_of_stay</t>
  </si>
  <si>
    <t>2022-2025</t>
  </si>
  <si>
    <t>timestamp</t>
  </si>
  <si>
    <t>10/08/2025 8:57:32PM</t>
  </si>
  <si>
    <t>proof</t>
  </si>
  <si>
    <t>Affidavit of Loss</t>
  </si>
  <si>
    <t>reason</t>
  </si>
  <si>
    <t>Claim of Credentials</t>
  </si>
  <si>
    <t>osa_head</t>
  </si>
  <si>
    <t>Beverly M. de Vega</t>
  </si>
  <si>
    <t>TECHNOLOGICAL UNIVERSITY OF THE PHILIPPINES - CAVITE CAMPUS</t>
  </si>
  <si>
    <t>(046) 416-4920</t>
  </si>
  <si>
    <t>Carlos Q. Trinidad Avenue, Salawag, Dasmariñas City, Cavite, 4114</t>
  </si>
  <si>
    <t>cavite@tup.edu.ph</t>
  </si>
  <si>
    <t>www.tupcavite.edu.ph</t>
  </si>
  <si>
    <t>OFFICE OF STUDENT AFFAIRS</t>
  </si>
  <si>
    <t>Acknowledgment Receipt of Returned TUPC ID</t>
  </si>
  <si>
    <t xml:space="preserve">Renosa Joze Renzo Q. </t>
  </si>
  <si>
    <t>Received from:</t>
  </si>
  <si>
    <t>Student ID Number</t>
  </si>
  <si>
    <t>Proof of Returned ID:</t>
  </si>
  <si>
    <t>Year Level:</t>
  </si>
  <si>
    <t>Returned Date:</t>
  </si>
  <si>
    <t>Program:</t>
  </si>
  <si>
    <t>Reason for Returned ID:</t>
  </si>
  <si>
    <t>Years of Stay:</t>
  </si>
  <si>
    <t>Timestamp:</t>
  </si>
  <si>
    <t>Received the surrendered ID and verified by:</t>
  </si>
  <si>
    <t>signature over printed name/date</t>
  </si>
  <si>
    <t>LORD JAISSON RIBERAL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</si>
</sst>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m/d/yyyy\ hh:mm:ss"/>
    <numFmt numFmtId="166" formatCode="hh:mm:ss"/>
    <numFmt numFmtId="167" formatCode="m/d/yyyy\ h:mm:ss"/>
  </numFmts>
  <fonts count="25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b/>
      <sz val="12"/>
      <color theme="1"/>
      <name val="Calibri"/>
      <charset val="1"/>
    </font>
    <font>
      <sz val="9"/>
      <color theme="1"/>
      <name val="Calibri"/>
      <charset val="1"/>
    </font>
    <font>
      <b/>
      <sz val="10"/>
      <color theme="1"/>
      <name val="Calibri"/>
      <charset val="1"/>
    </font>
    <font>
      <sz val="10"/>
      <color theme="1"/>
      <name val="Calibri"/>
      <charset val="1"/>
    </font>
    <font>
      <u/>
      <sz val="8"/>
      <color theme="10"/>
      <name val="Arial"/>
      <family val="2"/>
      <charset val="1"/>
    </font>
    <font>
      <u/>
      <sz val="10"/>
      <color theme="10"/>
      <name val="Arial"/>
      <charset val="1"/>
    </font>
    <font>
      <u/>
      <sz val="9"/>
      <color rgb="FF8B8948"/>
      <name val="Calibri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b/>
      <sz val="15"/>
      <color theme="1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theme="1"/>
      <name val="Arial"/>
      <charset val="1"/>
    </font>
    <font>
      <b/>
      <sz val="13"/>
      <color theme="1"/>
      <name val="Arial"/>
      <charset val="1"/>
    </font>
    <font>
      <u/>
      <sz val="12"/>
      <color theme="1"/>
      <name val="Arial"/>
      <charset val="1"/>
    </font>
    <font>
      <u/>
      <sz val="11"/>
      <color theme="1"/>
      <name val="Arial"/>
      <charset val="1"/>
    </font>
    <font>
      <sz val="10"/>
      <color theme="1"/>
      <name val="Arial"/>
      <charset val="1"/>
    </font>
    <font>
      <sz val="11"/>
      <color theme="1"/>
      <name val="Arial"/>
      <charset val="1"/>
    </font>
    <font>
      <sz val="10"/>
      <color rgb="FFFFFFFF"/>
      <name val="Arial"/>
      <charset val="1"/>
    </font>
    <font>
      <u/>
      <sz val="10"/>
      <color theme="1"/>
      <name val="Arial"/>
      <family val="2"/>
      <charset val="1"/>
    </font>
    <font>
      <b/>
      <sz val="11"/>
      <color theme="1"/>
      <name val="Calibri"/>
      <charset val="1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7" fillId="0" borderId="0" applyBorder="0" applyProtection="0"/>
  </cellStyleXfs>
  <cellXfs count="37">
    <xf numFmtId="0" fontId="0" fillId="0" borderId="0" xfId="0"/>
    <xf numFmtId="0" fontId="16" fillId="0" borderId="0" xfId="0" applyFont="1" applyAlignment="1">
      <alignment horizontal="left"/>
    </xf>
    <xf numFmtId="0" fontId="15" fillId="0" borderId="0" xfId="0" applyFont="1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Font="1" applyBorder="1" applyProtection="1"/>
    <xf numFmtId="0" fontId="8" fillId="0" borderId="0" xfId="0" applyFont="1" applyAlignment="1">
      <alignment horizontal="right"/>
    </xf>
    <xf numFmtId="0" fontId="10" fillId="0" borderId="0" xfId="0" applyFont="1"/>
    <xf numFmtId="0" fontId="12" fillId="0" borderId="0" xfId="0" applyFont="1"/>
    <xf numFmtId="0" fontId="10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left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67" fontId="16" fillId="0" borderId="0" xfId="0" applyNumberFormat="1" applyFont="1" applyAlignment="1">
      <alignment horizontal="left"/>
    </xf>
    <xf numFmtId="0" fontId="20" fillId="2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vertical="top" wrapText="1"/>
    </xf>
    <xf numFmtId="164" fontId="16" fillId="0" borderId="0" xfId="0" applyNumberFormat="1" applyFont="1" applyAlignment="1">
      <alignment horizontal="left"/>
    </xf>
    <xf numFmtId="166" fontId="16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948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124811</xdr:colOff>
      <xdr:row>0</xdr:row>
      <xdr:rowOff>39414</xdr:rowOff>
    </xdr:from>
    <xdr:to>
      <xdr:col>11</xdr:col>
      <xdr:colOff>291006</xdr:colOff>
      <xdr:row>2</xdr:row>
      <xdr:rowOff>231937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E9778B-1A70-BF9D-9041-F30E632B4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70" t="29630" r="42652" b="37690"/>
        <a:stretch>
          <a:fillRect/>
        </a:stretch>
      </xdr:blipFill>
      <xdr:spPr>
        <a:xfrm>
          <a:off x="5524501" y="39414"/>
          <a:ext cx="166195" cy="639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ww.tupcavite.edu.ph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205" zoomScaleNormal="205" workbookViewId="0">
      <selection activeCell="B3" sqref="B3"/>
    </sheetView>
  </sheetViews>
  <sheetFormatPr defaultColWidth="8.7109375" defaultRowHeight="12.75" customHeight="1" x14ac:dyDescent="0.2"/>
  <cols>
    <col min="1" max="1" width="22.28515625" customWidth="1"/>
    <col min="2" max="2" width="29.140625" customWidth="1"/>
  </cols>
  <sheetData>
    <row r="1" spans="1:2" x14ac:dyDescent="0.2">
      <c r="A1" s="7" t="s">
        <v>0</v>
      </c>
      <c r="B1" s="7" t="s">
        <v>1</v>
      </c>
    </row>
    <row r="2" spans="1:2" x14ac:dyDescent="0.2">
      <c r="A2" s="7" t="s">
        <v>2</v>
      </c>
      <c r="B2" s="7" t="s">
        <v>38</v>
      </c>
    </row>
    <row r="3" spans="1:2" x14ac:dyDescent="0.2">
      <c r="A3" s="7" t="s">
        <v>3</v>
      </c>
      <c r="B3" s="7" t="s">
        <v>4</v>
      </c>
    </row>
    <row r="4" spans="1:2" x14ac:dyDescent="0.2">
      <c r="A4" s="7" t="s">
        <v>5</v>
      </c>
      <c r="B4" s="7" t="s">
        <v>6</v>
      </c>
    </row>
    <row r="5" spans="1:2" x14ac:dyDescent="0.2">
      <c r="A5" s="7" t="s">
        <v>7</v>
      </c>
      <c r="B5" s="7" t="s">
        <v>8</v>
      </c>
    </row>
    <row r="6" spans="1:2" x14ac:dyDescent="0.2">
      <c r="A6" s="7" t="s">
        <v>9</v>
      </c>
      <c r="B6" s="7" t="s">
        <v>10</v>
      </c>
    </row>
    <row r="7" spans="1:2" x14ac:dyDescent="0.2">
      <c r="A7" s="7" t="s">
        <v>11</v>
      </c>
      <c r="B7" s="7" t="s">
        <v>12</v>
      </c>
    </row>
    <row r="8" spans="1:2" x14ac:dyDescent="0.2">
      <c r="A8" s="7" t="s">
        <v>13</v>
      </c>
      <c r="B8" s="7" t="s">
        <v>14</v>
      </c>
    </row>
    <row r="9" spans="1:2" x14ac:dyDescent="0.2">
      <c r="A9" s="7" t="s">
        <v>15</v>
      </c>
      <c r="B9" s="7" t="s">
        <v>16</v>
      </c>
    </row>
    <row r="10" spans="1:2" x14ac:dyDescent="0.2">
      <c r="A10" s="7" t="s">
        <v>17</v>
      </c>
      <c r="B10" s="7" t="s">
        <v>18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P19"/>
  <sheetViews>
    <sheetView tabSelected="1" zoomScale="145" zoomScaleNormal="145" workbookViewId="0">
      <selection activeCell="F10" sqref="F10"/>
    </sheetView>
  </sheetViews>
  <sheetFormatPr defaultColWidth="0" defaultRowHeight="15.75" customHeight="1" zeroHeight="1" x14ac:dyDescent="0.2"/>
  <cols>
    <col min="1" max="1" width="1.85546875" customWidth="1"/>
    <col min="2" max="2" width="3.7109375" customWidth="1"/>
    <col min="3" max="3" width="21.28515625" customWidth="1"/>
    <col min="4" max="4" width="0.42578125" customWidth="1"/>
    <col min="5" max="5" width="14.5703125" customWidth="1"/>
    <col min="6" max="6" width="1.28515625" customWidth="1"/>
    <col min="7" max="7" width="10.5703125" customWidth="1"/>
    <col min="8" max="8" width="5" customWidth="1"/>
    <col min="9" max="9" width="8.42578125" customWidth="1"/>
    <col min="10" max="10" width="13.42578125" customWidth="1"/>
    <col min="11" max="11" width="0.42578125" customWidth="1"/>
    <col min="12" max="12" width="4.7109375" customWidth="1"/>
    <col min="13" max="13" width="20.140625" customWidth="1"/>
    <col min="14" max="15" width="2.5703125" customWidth="1"/>
    <col min="16" max="16" width="2.28515625" customWidth="1"/>
    <col min="17" max="16384" width="12.5703125" hidden="1"/>
  </cols>
  <sheetData>
    <row r="1" spans="1:15" ht="17.25" customHeight="1" x14ac:dyDescent="0.25">
      <c r="A1" s="32" t="s">
        <v>19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8" t="s">
        <v>20</v>
      </c>
      <c r="N1" s="8"/>
      <c r="O1" s="6"/>
    </row>
    <row r="2" spans="1:15" ht="18" customHeight="1" x14ac:dyDescent="0.2">
      <c r="A2" s="33" t="s">
        <v>21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8" t="s">
        <v>22</v>
      </c>
      <c r="N2" s="8"/>
      <c r="O2" s="5"/>
    </row>
    <row r="3" spans="1:15" ht="18.75" customHeight="1" x14ac:dyDescent="0.2">
      <c r="F3" s="9"/>
      <c r="H3" s="10"/>
      <c r="I3" s="10"/>
      <c r="K3" s="5"/>
      <c r="L3" s="9"/>
      <c r="M3" s="11" t="s">
        <v>23</v>
      </c>
      <c r="N3" s="11"/>
      <c r="O3" s="12"/>
    </row>
    <row r="4" spans="1:15" ht="15.75" customHeight="1" x14ac:dyDescent="0.25">
      <c r="A4" s="4"/>
      <c r="B4" s="34" t="s">
        <v>24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13"/>
    </row>
    <row r="5" spans="1:15" ht="19.5" x14ac:dyDescent="0.3">
      <c r="A5" s="3"/>
      <c r="B5" s="35" t="s">
        <v>25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 ht="9" customHeight="1" x14ac:dyDescent="0.25">
      <c r="E6" s="14" t="str">
        <f t="array" ref="E6">IFERROR(INDEX(#REF!, MATCH($B$7,#REF!,0)),"Select a student from the list in cell B4")</f>
        <v>Select a student from the list in cell B4</v>
      </c>
      <c r="K6" s="13"/>
      <c r="L6" s="15"/>
      <c r="M6" s="13"/>
      <c r="N6" s="13"/>
    </row>
    <row r="7" spans="1:15" ht="18" customHeight="1" x14ac:dyDescent="0.25">
      <c r="B7" s="16" t="s">
        <v>26</v>
      </c>
      <c r="C7" s="17" t="s">
        <v>27</v>
      </c>
      <c r="D7" s="2"/>
      <c r="E7" s="36" t="str">
        <f>UPPER(student_name)</f>
        <v>LORD JAISSON RIBERAL</v>
      </c>
      <c r="F7" s="36"/>
      <c r="G7" s="36"/>
      <c r="H7" s="36"/>
      <c r="I7" s="36"/>
      <c r="J7" s="36"/>
      <c r="M7" s="2"/>
      <c r="N7" s="2"/>
      <c r="O7" s="2"/>
    </row>
    <row r="8" spans="1:15" x14ac:dyDescent="0.25">
      <c r="C8" s="17" t="s">
        <v>28</v>
      </c>
      <c r="D8" s="13"/>
      <c r="E8" s="25" t="str">
        <f>student_id</f>
        <v>TUPC-22-0374</v>
      </c>
      <c r="F8" s="25"/>
      <c r="G8" s="25"/>
      <c r="J8" s="17" t="s">
        <v>29</v>
      </c>
      <c r="K8" s="18"/>
      <c r="L8" s="25" t="str">
        <f>proof</f>
        <v>Affidavit of Loss</v>
      </c>
      <c r="M8" s="25"/>
      <c r="N8" s="25"/>
    </row>
    <row r="9" spans="1:15" x14ac:dyDescent="0.25">
      <c r="C9" s="17" t="s">
        <v>30</v>
      </c>
      <c r="D9" s="13"/>
      <c r="E9" s="25" t="str">
        <f>year_level</f>
        <v>1st Year</v>
      </c>
      <c r="F9" s="25"/>
      <c r="G9" s="25"/>
      <c r="J9" s="17" t="s">
        <v>31</v>
      </c>
      <c r="K9" s="19"/>
      <c r="L9" s="30" t="e">
        <f>TEXT(DATEVALUE(timestamp), "MMMM D, YYYY")</f>
        <v>#VALUE!</v>
      </c>
      <c r="M9" s="30"/>
      <c r="N9" s="20"/>
    </row>
    <row r="10" spans="1:15" x14ac:dyDescent="0.25">
      <c r="C10" s="17" t="s">
        <v>32</v>
      </c>
      <c r="D10" s="13"/>
      <c r="E10" s="1" t="str">
        <f>program</f>
        <v>BET-COET</v>
      </c>
      <c r="F10" s="1"/>
      <c r="G10" s="21"/>
      <c r="J10" s="17" t="s">
        <v>33</v>
      </c>
      <c r="K10" s="19"/>
      <c r="L10" s="31" t="str">
        <f>reason</f>
        <v>Claim of Credentials</v>
      </c>
      <c r="M10" s="31"/>
      <c r="N10" s="31"/>
    </row>
    <row r="11" spans="1:15" x14ac:dyDescent="0.25">
      <c r="C11" s="17" t="s">
        <v>34</v>
      </c>
      <c r="D11" s="13"/>
      <c r="E11" s="25" t="str">
        <f>years_of_stay</f>
        <v>2022-2025</v>
      </c>
      <c r="F11" s="25"/>
      <c r="G11" s="25"/>
    </row>
    <row r="12" spans="1:15" x14ac:dyDescent="0.25">
      <c r="C12" s="17" t="s">
        <v>35</v>
      </c>
      <c r="E12" s="26" t="str">
        <f>timestamp</f>
        <v>10/08/2025 8:57:32PM</v>
      </c>
      <c r="F12" s="26"/>
      <c r="G12" s="26"/>
      <c r="I12" s="22" t="s">
        <v>36</v>
      </c>
    </row>
    <row r="13" spans="1:15" ht="7.5" customHeight="1" x14ac:dyDescent="0.2"/>
    <row r="14" spans="1:15" ht="14.25" x14ac:dyDescent="0.2">
      <c r="A14" s="23"/>
      <c r="B14" s="27" t="str">
        <f>IF(L8="Affidavit of Loss","NOTE: The previously issued TUPC ID is hereby declared invalid, as per the submitted Affidavit of Loss.","The returned TUPC ID has been physically invalidated with a punched hole in the QR code and is no longer considered valid.")</f>
        <v>NOTE: The previously issued TUPC ID is hereby declared invalid, as per the submitted Affidavit of Loss.</v>
      </c>
      <c r="C14" s="27"/>
      <c r="D14" s="27"/>
      <c r="E14" s="27"/>
      <c r="F14" s="27"/>
      <c r="G14" s="23"/>
      <c r="H14" s="23"/>
      <c r="I14" s="23"/>
      <c r="J14" s="23"/>
      <c r="K14" s="23"/>
      <c r="L14" s="23"/>
      <c r="M14" s="23"/>
      <c r="N14" s="23"/>
    </row>
    <row r="15" spans="1:15" ht="12.75" x14ac:dyDescent="0.2">
      <c r="B15" s="27"/>
      <c r="C15" s="27"/>
      <c r="D15" s="27"/>
      <c r="E15" s="27"/>
      <c r="F15" s="27"/>
      <c r="I15" s="28" t="str">
        <f>UPPER(osa_head)</f>
        <v>BEVERLY M. DE VEGA</v>
      </c>
      <c r="J15" s="28"/>
      <c r="K15" s="28"/>
      <c r="L15" s="28"/>
      <c r="M15" s="28"/>
    </row>
    <row r="16" spans="1:15" ht="15.75" customHeight="1" x14ac:dyDescent="0.2">
      <c r="B16" s="27"/>
      <c r="C16" s="27"/>
      <c r="D16" s="27"/>
      <c r="E16" s="27"/>
      <c r="F16" s="27"/>
      <c r="I16" s="29" t="s">
        <v>37</v>
      </c>
      <c r="J16" s="29"/>
      <c r="K16" s="29"/>
      <c r="L16" s="29"/>
      <c r="M16" s="29"/>
    </row>
    <row r="17" spans="7:12" ht="10.5" customHeight="1" x14ac:dyDescent="0.25">
      <c r="G17" s="24"/>
      <c r="L17" s="22"/>
    </row>
    <row r="18" spans="7:12" ht="10.5" hidden="1" customHeight="1" x14ac:dyDescent="0.25">
      <c r="G18" s="24"/>
      <c r="L18" s="22"/>
    </row>
    <row r="19" spans="7:12" ht="10.5" hidden="1" customHeight="1" x14ac:dyDescent="0.2"/>
  </sheetData>
  <mergeCells count="15">
    <mergeCell ref="A1:L1"/>
    <mergeCell ref="A2:L2"/>
    <mergeCell ref="B4:N4"/>
    <mergeCell ref="B5:O5"/>
    <mergeCell ref="E7:J7"/>
    <mergeCell ref="E8:G8"/>
    <mergeCell ref="L8:N8"/>
    <mergeCell ref="E9:G9"/>
    <mergeCell ref="L9:M9"/>
    <mergeCell ref="L10:N10"/>
    <mergeCell ref="E11:G11"/>
    <mergeCell ref="E12:G12"/>
    <mergeCell ref="B14:F16"/>
    <mergeCell ref="I15:M15"/>
    <mergeCell ref="I16:M16"/>
  </mergeCells>
  <dataValidations count="1">
    <dataValidation type="list" allowBlank="1" sqref="B7" xr:uid="{00000000-0002-0000-0100-000000000000}">
      <formula1>#REF!</formula1>
      <formula2>0</formula2>
    </dataValidation>
  </dataValidations>
  <hyperlinks>
    <hyperlink ref="M3" r:id="rId1" xr:uid="{00000000-0004-0000-0100-000000000000}"/>
  </hyperlinks>
  <printOptions horizontalCentered="1"/>
  <pageMargins left="0.7" right="0.7" top="0.3" bottom="0.75" header="0.511811023622047" footer="0.511811023622047"/>
  <pageSetup pageOrder="overThenDown" orientation="portrait" horizontalDpi="300" verticalDpi="30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inputs</vt:lpstr>
      <vt:lpstr>Acknowledgement Receipt</vt:lpstr>
      <vt:lpstr>osa_head</vt:lpstr>
      <vt:lpstr>program</vt:lpstr>
      <vt:lpstr>proof</vt:lpstr>
      <vt:lpstr>reason</vt:lpstr>
      <vt:lpstr>student_id</vt:lpstr>
      <vt:lpstr>student_name</vt:lpstr>
      <vt:lpstr>timestamp</vt:lpstr>
      <vt:lpstr>year_level</vt:lpstr>
      <vt:lpstr>years_of_stay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Lord Jaisson Riberal</cp:lastModifiedBy>
  <cp:revision>2</cp:revision>
  <cp:lastPrinted>2025-08-10T13:04:43Z</cp:lastPrinted>
  <dcterms:modified xsi:type="dcterms:W3CDTF">2025-11-15T16:36:06Z</dcterms:modified>
  <dc:language>en-PH</dc:language>
</cp:coreProperties>
</file>